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3931551/Documents/PhD 2022-2025/2025/Chapter 4/Chapter 4 method &amp; results/"/>
    </mc:Choice>
  </mc:AlternateContent>
  <xr:revisionPtr revIDLastSave="0" documentId="8_{6F5E0AF4-0901-1B44-A5F6-C13DA2EA9D16}" xr6:coauthVersionLast="47" xr6:coauthVersionMax="47" xr10:uidLastSave="{00000000-0000-0000-0000-000000000000}"/>
  <bookViews>
    <workbookView xWindow="36340" yWindow="600" windowWidth="37520" windowHeight="21020" xr2:uid="{AB0DEAF7-D120-B842-A02C-8C9FC24CDF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" i="1" l="1"/>
  <c r="K19" i="1"/>
  <c r="K26" i="1"/>
  <c r="K48" i="1"/>
  <c r="K75" i="1"/>
  <c r="K47" i="1"/>
  <c r="K59" i="1"/>
  <c r="K6" i="1"/>
  <c r="K33" i="1"/>
  <c r="K12" i="1"/>
  <c r="K4" i="1"/>
  <c r="K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tc={896A4859-3456-2144-A1AA-4DEE3E1E72D0}</author>
  </authors>
  <commentList>
    <comment ref="G63" authorId="0" shapeId="0" xr:uid="{896A4859-3456-2144-A1AA-4DEE3E1E72D0}">
      <text>
        <t>[Threaded comment]
Your version of Excel allows you to read this threaded comment; however, any edits to it will get removed if the file is opened in a newer version of Excel. Learn more: https://go.microsoft.com/fwlink/?linkid=870924
Comment:
    are these semi-open or closed?</t>
      </text>
    </comment>
  </commentList>
</comments>
</file>

<file path=xl/sharedStrings.xml><?xml version="1.0" encoding="utf-8"?>
<sst xmlns="http://schemas.openxmlformats.org/spreadsheetml/2006/main" count="475" uniqueCount="143">
  <si>
    <t>species</t>
  </si>
  <si>
    <t>endemism</t>
  </si>
  <si>
    <t>phenology</t>
  </si>
  <si>
    <t>form</t>
  </si>
  <si>
    <t>density</t>
  </si>
  <si>
    <t>texture</t>
  </si>
  <si>
    <t>max_height</t>
  </si>
  <si>
    <t>max_width</t>
  </si>
  <si>
    <t>year_max</t>
  </si>
  <si>
    <t>spacing</t>
  </si>
  <si>
    <t>Ceratodon purpureus</t>
  </si>
  <si>
    <t>native</t>
  </si>
  <si>
    <t>mounding</t>
  </si>
  <si>
    <t>closed</t>
  </si>
  <si>
    <t>fine</t>
  </si>
  <si>
    <t>Funaria hygrometrica</t>
  </si>
  <si>
    <t>Monocarpus sphaerocarpus</t>
  </si>
  <si>
    <t>medium</t>
  </si>
  <si>
    <t>Epilobium billardierianum</t>
  </si>
  <si>
    <t>nov_oct_dec_jan_feb_mar</t>
  </si>
  <si>
    <t>upright</t>
  </si>
  <si>
    <t>open</t>
  </si>
  <si>
    <t>Epilobium billardierianum ssp.cinereum</t>
  </si>
  <si>
    <t>Villarsia reniformis</t>
  </si>
  <si>
    <t>oct_nov_dec_jan_feb_mar</t>
  </si>
  <si>
    <t>semi-open</t>
  </si>
  <si>
    <t>Amphibromus neesii</t>
  </si>
  <si>
    <t>oct_nov_dec_jan_feb_mar_apr</t>
  </si>
  <si>
    <t>Amphibromus sinuatus</t>
  </si>
  <si>
    <t>Amphibromus nervosus</t>
  </si>
  <si>
    <t>jun_jul_aug_sep_oct_nov</t>
  </si>
  <si>
    <t>Deyeuxia quadriseta</t>
  </si>
  <si>
    <t>sep_oct_nov_dec_jan_feb_mar_apr_may</t>
  </si>
  <si>
    <t>Juncus flavidus</t>
  </si>
  <si>
    <t>nov_dec_jan_feb_mar_apr_may</t>
  </si>
  <si>
    <t>Lilaeopsis polyantha</t>
  </si>
  <si>
    <t>oct_nov_dec_jan_feb_mar_apr_may</t>
  </si>
  <si>
    <t>Potamogeton tricarinatus s.l..</t>
  </si>
  <si>
    <t>sep_oct_nov_dec_jan_feb_mar_apr</t>
  </si>
  <si>
    <t>vase</t>
  </si>
  <si>
    <t>coarse</t>
  </si>
  <si>
    <t>Utricularia dichotoma s.l.</t>
  </si>
  <si>
    <t>oct_nov_dec_jan</t>
  </si>
  <si>
    <t>Eleocharis acuta</t>
  </si>
  <si>
    <t>Eleocharis pusilla</t>
  </si>
  <si>
    <t>Austrodanthonia duttoniana</t>
  </si>
  <si>
    <t>sep_oct_nov_dec_jan</t>
  </si>
  <si>
    <t>rounded</t>
  </si>
  <si>
    <t>Glyceria australis</t>
  </si>
  <si>
    <t>Juncus holoschoenus</t>
  </si>
  <si>
    <t>Triglochin procerum s.l.</t>
  </si>
  <si>
    <t>sep_oct_nov_dec_jan_feb</t>
  </si>
  <si>
    <t>Erygium vesiculosum</t>
  </si>
  <si>
    <t>dec_jan_feb</t>
  </si>
  <si>
    <t>Lobelia pratioides</t>
  </si>
  <si>
    <t>Neopaxia australasica</t>
  </si>
  <si>
    <t>nov_oct_dec_jan_feb_mar_apr_may</t>
  </si>
  <si>
    <t>mar_apr_may</t>
  </si>
  <si>
    <t xml:space="preserve">Calocephalus citreus </t>
  </si>
  <si>
    <t>sep_oct_nov_dec_jan_feb_mar</t>
  </si>
  <si>
    <t>Eucalyptus camaldulensis</t>
  </si>
  <si>
    <t>jul_apr_may_jun_july_aug_sep_oct_nov_dec_jan_feb</t>
  </si>
  <si>
    <t>columnar</t>
  </si>
  <si>
    <t>Austrostipa bigeniculata</t>
  </si>
  <si>
    <t>nov_oct_dec_jan</t>
  </si>
  <si>
    <t>Austrostipa mollis</t>
  </si>
  <si>
    <t>sep_oct_nov_dec</t>
  </si>
  <si>
    <t>Acaena echinata</t>
  </si>
  <si>
    <t>aug_sep_oct_nov</t>
  </si>
  <si>
    <t>Gonocarpus tetragynus</t>
  </si>
  <si>
    <t>Acacia pycnantha</t>
  </si>
  <si>
    <t>aug_sep</t>
  </si>
  <si>
    <t>Anthosachne scabra</t>
  </si>
  <si>
    <t>jul_apr_may_jun_july_aug_sep_oct_nov_dec</t>
  </si>
  <si>
    <t>Austrodanthonia racemosa var. racemosa</t>
  </si>
  <si>
    <t>Allocasuarina vertiulata</t>
  </si>
  <si>
    <t>mar_apr_may_jun_jul_aug_sep_oct_nov_dec</t>
  </si>
  <si>
    <t>Oxalis perennans</t>
  </si>
  <si>
    <t>Acacia paradoxa</t>
  </si>
  <si>
    <t>Austrodanthonia setacea</t>
  </si>
  <si>
    <t>Themeda triandra</t>
  </si>
  <si>
    <t>Pteridium esculentum</t>
  </si>
  <si>
    <t xml:space="preserve">Hypericum gramineum </t>
  </si>
  <si>
    <t>Hymenanthera dentata s.l.</t>
  </si>
  <si>
    <t>aug_sep_oct</t>
  </si>
  <si>
    <t>Poa sieberiana</t>
  </si>
  <si>
    <t xml:space="preserve">Kennedia prostrata </t>
  </si>
  <si>
    <t>apr_may_jun_jul_aug_sep_oct_nov</t>
  </si>
  <si>
    <t xml:space="preserve">Convolvulus erubescens spp. agg. </t>
  </si>
  <si>
    <t>flat</t>
  </si>
  <si>
    <t>Carex breviculmis</t>
  </si>
  <si>
    <t>aug_sep_oct_nov_dec</t>
  </si>
  <si>
    <t>Bursaria spinosa</t>
  </si>
  <si>
    <t>nov_oct_dec_jan_feb</t>
  </si>
  <si>
    <t>Dianella tasmanica</t>
  </si>
  <si>
    <t>aug_sep_oct_nov_dec_jan_feb</t>
  </si>
  <si>
    <t>jul_aug_sep_oct_nov_dec_jan_feb_mar_apr</t>
  </si>
  <si>
    <t>Eucalyptus macrocarpa</t>
  </si>
  <si>
    <t>feb_mar_apr_may_jun</t>
  </si>
  <si>
    <t>Eucalyptus melliodora</t>
  </si>
  <si>
    <t>Banksia integrifolia</t>
  </si>
  <si>
    <t>jan_feb_mar_apr_may_jun</t>
  </si>
  <si>
    <t>dec_jan_feb_mar_apr</t>
  </si>
  <si>
    <t>Eucalyptus leucoxylon subsp. Leucoxylon</t>
  </si>
  <si>
    <t>may_jun_jul_aug_sep</t>
  </si>
  <si>
    <t>Acacia verticillata</t>
  </si>
  <si>
    <t>jun_jul_apr_may_jun_july_aug_sep_oct_nov_dec</t>
  </si>
  <si>
    <t>Leptospermum continentale</t>
  </si>
  <si>
    <t>mar_apr_may_jun_jul_aug_sep_oct_nov</t>
  </si>
  <si>
    <t>aug_sep_oct_nov_dec_jan_feb_mar</t>
  </si>
  <si>
    <t>Dianella revoluta s.l.</t>
  </si>
  <si>
    <t>Lomandra longifolia</t>
  </si>
  <si>
    <t>Alisma plantago-aquatica</t>
  </si>
  <si>
    <t>Austromyrtus dulcis</t>
  </si>
  <si>
    <t>Cassinia arcuata</t>
  </si>
  <si>
    <t>nov_oct_dec_jan_feb_mar_apr</t>
  </si>
  <si>
    <t>Eleocharis palustris</t>
  </si>
  <si>
    <t xml:space="preserve">Goodenia lanata </t>
  </si>
  <si>
    <t>Eleocharis sphacelata</t>
  </si>
  <si>
    <t>Marsilea drummondii</t>
  </si>
  <si>
    <t>Mentha australis</t>
  </si>
  <si>
    <t>Microseris scapigera</t>
  </si>
  <si>
    <t>Westringia fruticosa</t>
  </si>
  <si>
    <t>Prostanthera incisa</t>
  </si>
  <si>
    <t>Hakea nodosa</t>
  </si>
  <si>
    <t>apr_may_jun_jul_aug</t>
  </si>
  <si>
    <t>Chrysocephalum semipapposum</t>
  </si>
  <si>
    <t>Pyrus calleryana</t>
  </si>
  <si>
    <t>exotic</t>
  </si>
  <si>
    <t>Cenchrus clandestinus</t>
  </si>
  <si>
    <t>oct_dec_jan_feb_mar</t>
  </si>
  <si>
    <t>Goodenia ovata</t>
  </si>
  <si>
    <t>Eucalyptus viminalisPryoriana</t>
  </si>
  <si>
    <t>coverage</t>
  </si>
  <si>
    <t>ref_height</t>
  </si>
  <si>
    <t>ini_height</t>
  </si>
  <si>
    <t>july_aug_sep_nov</t>
  </si>
  <si>
    <t>Carex appressa</t>
  </si>
  <si>
    <t>Acacia implexa</t>
  </si>
  <si>
    <t>Clematis aristata</t>
  </si>
  <si>
    <t>Correa alba</t>
  </si>
  <si>
    <t>Eucalyptus polyanthemosVestita</t>
  </si>
  <si>
    <t>feb_mar_apr_may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</si>
</sst>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iona Hoegh-Guldberg" id="{15EBC71D-A3BA-A04F-9023-F5FAA719EEAD}" userId="S::S3931551@student.rmit.edu.au::55882c34-4825-4362-a2ab-465babf70cb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63" dT="2025-08-18T07:46:18.90" personId="{15EBC71D-A3BA-A04F-9023-F5FAA719EEAD}" id="{896A4859-3456-2144-A1AA-4DEE3E1E72D0}">
    <text>are these semi-open or closed?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7F96B-811D-4748-B6D2-3778874476DC}">
  <dimension ref="A1:M78"/>
  <sheetViews>
    <sheetView tabSelected="1" zoomScale="108" zoomScaleNormal="151" workbookViewId="0">
      <selection activeCell="E81" sqref="E81"/>
    </sheetView>
  </sheetViews>
  <sheetFormatPr baseColWidth="10" defaultRowHeight="16" x14ac:dyDescent="0.2"/>
  <cols>
    <col min="1" max="1" width="42.6640625" customWidth="1"/>
    <col min="2" max="2" width="12.33203125" customWidth="1"/>
    <col min="3" max="3" width="12" customWidth="1"/>
    <col min="5" max="5" width="52.83203125" customWidth="1"/>
    <col min="6" max="6" width="34" customWidth="1"/>
  </cols>
  <sheetData>
    <row r="1" spans="1:13" x14ac:dyDescent="0.2">
      <c r="A1" t="s">
        <v>0</v>
      </c>
      <c r="B1" t="s">
        <v>134</v>
      </c>
      <c r="C1" t="s">
        <v>135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133</v>
      </c>
    </row>
    <row r="2" spans="1:13" x14ac:dyDescent="0.2">
      <c r="A2" t="s">
        <v>16</v>
      </c>
      <c r="B2">
        <v>0</v>
      </c>
      <c r="C2">
        <v>0</v>
      </c>
      <c r="D2" t="s">
        <v>11</v>
      </c>
      <c r="E2" t="s">
        <v>53</v>
      </c>
      <c r="F2" t="s">
        <v>12</v>
      </c>
      <c r="G2" t="s">
        <v>13</v>
      </c>
      <c r="H2" t="s">
        <v>17</v>
      </c>
      <c r="I2">
        <v>1.6000000000000001E-3</v>
      </c>
      <c r="J2">
        <v>0.5</v>
      </c>
      <c r="K2">
        <v>0.04</v>
      </c>
      <c r="L2">
        <v>1</v>
      </c>
      <c r="M2">
        <v>10</v>
      </c>
    </row>
    <row r="3" spans="1:13" x14ac:dyDescent="0.2">
      <c r="A3" t="s">
        <v>10</v>
      </c>
      <c r="B3">
        <v>0</v>
      </c>
      <c r="C3">
        <v>0</v>
      </c>
      <c r="D3" t="s">
        <v>11</v>
      </c>
      <c r="E3" t="s">
        <v>136</v>
      </c>
      <c r="F3" t="s">
        <v>12</v>
      </c>
      <c r="G3" t="s">
        <v>13</v>
      </c>
      <c r="H3" t="s">
        <v>14</v>
      </c>
      <c r="I3">
        <v>0.03</v>
      </c>
      <c r="J3">
        <v>1</v>
      </c>
      <c r="K3" s="1">
        <f>0.125</f>
        <v>0.125</v>
      </c>
      <c r="L3">
        <v>1</v>
      </c>
      <c r="M3">
        <v>10</v>
      </c>
    </row>
    <row r="4" spans="1:13" x14ac:dyDescent="0.2">
      <c r="A4" t="s">
        <v>15</v>
      </c>
      <c r="B4">
        <v>0</v>
      </c>
      <c r="C4">
        <v>0</v>
      </c>
      <c r="D4" t="s">
        <v>11</v>
      </c>
      <c r="E4" t="s">
        <v>51</v>
      </c>
      <c r="F4" t="s">
        <v>12</v>
      </c>
      <c r="G4" t="s">
        <v>13</v>
      </c>
      <c r="H4" t="s">
        <v>14</v>
      </c>
      <c r="I4">
        <v>0.05</v>
      </c>
      <c r="J4">
        <v>1</v>
      </c>
      <c r="K4" s="2">
        <f>1/4.8</f>
        <v>0.20833333333333334</v>
      </c>
      <c r="L4">
        <v>1</v>
      </c>
      <c r="M4">
        <v>10</v>
      </c>
    </row>
    <row r="5" spans="1:13" x14ac:dyDescent="0.2">
      <c r="A5" t="s">
        <v>54</v>
      </c>
      <c r="B5">
        <v>0</v>
      </c>
      <c r="C5">
        <v>0</v>
      </c>
      <c r="D5" t="s">
        <v>11</v>
      </c>
      <c r="E5" t="s">
        <v>38</v>
      </c>
      <c r="F5" t="s">
        <v>12</v>
      </c>
      <c r="G5" t="s">
        <v>21</v>
      </c>
      <c r="H5" t="s">
        <v>17</v>
      </c>
      <c r="I5">
        <v>0.1</v>
      </c>
      <c r="J5">
        <v>0.3</v>
      </c>
      <c r="K5">
        <v>0.33</v>
      </c>
      <c r="L5">
        <v>1</v>
      </c>
      <c r="M5">
        <v>10</v>
      </c>
    </row>
    <row r="6" spans="1:13" x14ac:dyDescent="0.2">
      <c r="A6" t="s">
        <v>77</v>
      </c>
      <c r="B6">
        <v>0</v>
      </c>
      <c r="C6">
        <v>0</v>
      </c>
      <c r="D6" t="s">
        <v>11</v>
      </c>
      <c r="E6" t="s">
        <v>36</v>
      </c>
      <c r="F6" t="s">
        <v>12</v>
      </c>
      <c r="G6" t="s">
        <v>25</v>
      </c>
      <c r="H6" t="s">
        <v>40</v>
      </c>
      <c r="I6">
        <v>0.1</v>
      </c>
      <c r="J6">
        <v>0.3</v>
      </c>
      <c r="K6" s="2">
        <f>2.5/12</f>
        <v>0.20833333333333334</v>
      </c>
      <c r="L6">
        <v>1</v>
      </c>
      <c r="M6">
        <v>15</v>
      </c>
    </row>
    <row r="7" spans="1:13" x14ac:dyDescent="0.2">
      <c r="A7" t="s">
        <v>44</v>
      </c>
      <c r="B7">
        <v>0</v>
      </c>
      <c r="C7">
        <v>0</v>
      </c>
      <c r="D7" t="s">
        <v>11</v>
      </c>
      <c r="E7" t="s">
        <v>38</v>
      </c>
      <c r="F7" t="s">
        <v>12</v>
      </c>
      <c r="G7" t="s">
        <v>13</v>
      </c>
      <c r="H7" t="s">
        <v>14</v>
      </c>
      <c r="I7">
        <v>0.15</v>
      </c>
      <c r="J7">
        <v>3</v>
      </c>
      <c r="K7">
        <v>6</v>
      </c>
      <c r="L7">
        <v>1</v>
      </c>
      <c r="M7">
        <v>10</v>
      </c>
    </row>
    <row r="8" spans="1:13" x14ac:dyDescent="0.2">
      <c r="A8" t="s">
        <v>55</v>
      </c>
      <c r="B8">
        <v>0</v>
      </c>
      <c r="C8">
        <v>0</v>
      </c>
      <c r="D8" t="s">
        <v>11</v>
      </c>
      <c r="E8" t="s">
        <v>56</v>
      </c>
      <c r="F8" t="s">
        <v>12</v>
      </c>
      <c r="G8" t="s">
        <v>21</v>
      </c>
      <c r="H8" t="s">
        <v>40</v>
      </c>
      <c r="I8">
        <v>0.15</v>
      </c>
      <c r="J8">
        <v>0.3</v>
      </c>
      <c r="K8">
        <v>0.25</v>
      </c>
      <c r="L8">
        <v>1</v>
      </c>
      <c r="M8">
        <v>10</v>
      </c>
    </row>
    <row r="9" spans="1:13" x14ac:dyDescent="0.2">
      <c r="A9" t="s">
        <v>52</v>
      </c>
      <c r="B9">
        <v>0</v>
      </c>
      <c r="C9">
        <v>0</v>
      </c>
      <c r="D9" t="s">
        <v>11</v>
      </c>
      <c r="E9" t="s">
        <v>53</v>
      </c>
      <c r="F9" t="s">
        <v>39</v>
      </c>
      <c r="G9" t="s">
        <v>13</v>
      </c>
      <c r="H9" t="s">
        <v>14</v>
      </c>
      <c r="I9">
        <v>0.2</v>
      </c>
      <c r="J9">
        <v>0.6</v>
      </c>
      <c r="K9">
        <v>0.8</v>
      </c>
      <c r="L9">
        <v>1</v>
      </c>
      <c r="M9">
        <v>10</v>
      </c>
    </row>
    <row r="10" spans="1:13" x14ac:dyDescent="0.2">
      <c r="A10" t="s">
        <v>35</v>
      </c>
      <c r="B10">
        <v>0</v>
      </c>
      <c r="C10">
        <v>0</v>
      </c>
      <c r="D10" t="s">
        <v>11</v>
      </c>
      <c r="E10" t="s">
        <v>36</v>
      </c>
      <c r="F10" t="s">
        <v>12</v>
      </c>
      <c r="G10" t="s">
        <v>13</v>
      </c>
      <c r="H10" t="s">
        <v>14</v>
      </c>
      <c r="I10">
        <v>0.3</v>
      </c>
      <c r="J10">
        <v>0.3</v>
      </c>
      <c r="K10">
        <v>0.9</v>
      </c>
      <c r="L10">
        <v>2</v>
      </c>
      <c r="M10">
        <v>10</v>
      </c>
    </row>
    <row r="11" spans="1:13" x14ac:dyDescent="0.2">
      <c r="A11" t="s">
        <v>41</v>
      </c>
      <c r="B11">
        <v>0</v>
      </c>
      <c r="C11">
        <v>0</v>
      </c>
      <c r="D11" t="s">
        <v>11</v>
      </c>
      <c r="E11" t="s">
        <v>42</v>
      </c>
      <c r="F11" t="s">
        <v>20</v>
      </c>
      <c r="G11" t="s">
        <v>21</v>
      </c>
      <c r="H11" t="s">
        <v>14</v>
      </c>
      <c r="I11">
        <v>0.3</v>
      </c>
      <c r="J11">
        <v>0.05</v>
      </c>
      <c r="K11">
        <v>0.9</v>
      </c>
      <c r="L11">
        <v>30</v>
      </c>
      <c r="M11">
        <v>10</v>
      </c>
    </row>
    <row r="12" spans="1:13" x14ac:dyDescent="0.2">
      <c r="A12" t="s">
        <v>69</v>
      </c>
      <c r="B12">
        <v>0</v>
      </c>
      <c r="C12">
        <v>0</v>
      </c>
      <c r="D12" t="s">
        <v>11</v>
      </c>
      <c r="E12" t="s">
        <v>51</v>
      </c>
      <c r="F12" t="s">
        <v>20</v>
      </c>
      <c r="G12" t="s">
        <v>21</v>
      </c>
      <c r="H12" t="s">
        <v>40</v>
      </c>
      <c r="I12">
        <v>0.3</v>
      </c>
      <c r="J12">
        <v>0.4</v>
      </c>
      <c r="K12" s="2">
        <f>7/12</f>
        <v>0.58333333333333337</v>
      </c>
      <c r="L12">
        <v>1</v>
      </c>
      <c r="M12">
        <v>15</v>
      </c>
    </row>
    <row r="13" spans="1:13" x14ac:dyDescent="0.2">
      <c r="A13" t="s">
        <v>119</v>
      </c>
      <c r="B13">
        <v>0</v>
      </c>
      <c r="C13">
        <v>0</v>
      </c>
      <c r="D13" t="s">
        <v>11</v>
      </c>
      <c r="E13" t="s">
        <v>19</v>
      </c>
      <c r="F13" t="s">
        <v>12</v>
      </c>
      <c r="G13" t="s">
        <v>25</v>
      </c>
      <c r="H13" t="s">
        <v>40</v>
      </c>
      <c r="I13">
        <v>0.3</v>
      </c>
      <c r="J13">
        <v>2</v>
      </c>
      <c r="K13" s="3">
        <v>0.3</v>
      </c>
      <c r="L13">
        <v>1</v>
      </c>
      <c r="M13">
        <v>40</v>
      </c>
    </row>
    <row r="14" spans="1:13" x14ac:dyDescent="0.2">
      <c r="A14" t="s">
        <v>90</v>
      </c>
      <c r="B14">
        <v>0</v>
      </c>
      <c r="C14">
        <v>0</v>
      </c>
      <c r="D14" t="s">
        <v>11</v>
      </c>
      <c r="E14" t="s">
        <v>91</v>
      </c>
      <c r="F14" t="s">
        <v>12</v>
      </c>
      <c r="G14" t="s">
        <v>21</v>
      </c>
      <c r="H14" t="s">
        <v>14</v>
      </c>
      <c r="I14">
        <v>0.35</v>
      </c>
      <c r="J14">
        <v>0.4</v>
      </c>
      <c r="K14">
        <v>2</v>
      </c>
      <c r="L14">
        <v>1</v>
      </c>
      <c r="M14">
        <v>50</v>
      </c>
    </row>
    <row r="15" spans="1:13" x14ac:dyDescent="0.2">
      <c r="A15" t="s">
        <v>67</v>
      </c>
      <c r="B15">
        <v>0</v>
      </c>
      <c r="C15">
        <v>0</v>
      </c>
      <c r="D15" t="s">
        <v>11</v>
      </c>
      <c r="E15" t="s">
        <v>68</v>
      </c>
      <c r="F15" t="s">
        <v>39</v>
      </c>
      <c r="G15" t="s">
        <v>21</v>
      </c>
      <c r="H15" t="s">
        <v>40</v>
      </c>
      <c r="I15">
        <v>0.4</v>
      </c>
      <c r="J15">
        <v>0.3</v>
      </c>
      <c r="K15">
        <v>1</v>
      </c>
      <c r="L15">
        <v>1</v>
      </c>
      <c r="M15">
        <v>15</v>
      </c>
    </row>
    <row r="16" spans="1:13" x14ac:dyDescent="0.2">
      <c r="A16" t="s">
        <v>82</v>
      </c>
      <c r="B16">
        <v>0</v>
      </c>
      <c r="C16">
        <v>0</v>
      </c>
      <c r="D16" t="s">
        <v>11</v>
      </c>
      <c r="E16" t="s">
        <v>42</v>
      </c>
      <c r="F16" t="s">
        <v>20</v>
      </c>
      <c r="G16" t="s">
        <v>25</v>
      </c>
      <c r="H16" t="s">
        <v>17</v>
      </c>
      <c r="I16">
        <v>0.4</v>
      </c>
      <c r="J16">
        <v>0.2</v>
      </c>
      <c r="K16">
        <v>3</v>
      </c>
      <c r="L16">
        <v>1</v>
      </c>
      <c r="M16">
        <v>10</v>
      </c>
    </row>
    <row r="17" spans="1:13" x14ac:dyDescent="0.2">
      <c r="A17" t="s">
        <v>129</v>
      </c>
      <c r="B17">
        <v>0</v>
      </c>
      <c r="C17">
        <v>0</v>
      </c>
      <c r="D17" t="s">
        <v>128</v>
      </c>
      <c r="E17" t="s">
        <v>130</v>
      </c>
      <c r="F17" t="s">
        <v>12</v>
      </c>
      <c r="G17" t="s">
        <v>21</v>
      </c>
      <c r="H17" t="s">
        <v>17</v>
      </c>
      <c r="I17">
        <v>0.2</v>
      </c>
      <c r="J17">
        <v>20</v>
      </c>
      <c r="K17" s="3">
        <f>20*0.3</f>
        <v>6</v>
      </c>
      <c r="L17">
        <v>1</v>
      </c>
      <c r="M17">
        <v>100</v>
      </c>
    </row>
    <row r="18" spans="1:13" x14ac:dyDescent="0.2">
      <c r="A18" t="s">
        <v>117</v>
      </c>
      <c r="B18">
        <v>0</v>
      </c>
      <c r="C18">
        <v>0</v>
      </c>
      <c r="D18" t="s">
        <v>11</v>
      </c>
      <c r="E18" t="s">
        <v>93</v>
      </c>
      <c r="F18" t="s">
        <v>12</v>
      </c>
      <c r="G18" t="s">
        <v>21</v>
      </c>
      <c r="H18" t="s">
        <v>40</v>
      </c>
      <c r="I18">
        <v>0.5</v>
      </c>
      <c r="J18">
        <v>1.5</v>
      </c>
      <c r="K18">
        <v>1.5</v>
      </c>
      <c r="L18">
        <v>1</v>
      </c>
      <c r="M18">
        <v>5</v>
      </c>
    </row>
    <row r="19" spans="1:13" x14ac:dyDescent="0.2">
      <c r="A19" t="s">
        <v>121</v>
      </c>
      <c r="B19">
        <v>0</v>
      </c>
      <c r="C19">
        <v>0</v>
      </c>
      <c r="D19" t="s">
        <v>11</v>
      </c>
      <c r="E19" t="s">
        <v>102</v>
      </c>
      <c r="F19" t="s">
        <v>20</v>
      </c>
      <c r="G19" t="s">
        <v>21</v>
      </c>
      <c r="H19" t="s">
        <v>40</v>
      </c>
      <c r="I19">
        <v>0.5</v>
      </c>
      <c r="J19">
        <v>0.25</v>
      </c>
      <c r="K19" s="1">
        <f>2/12</f>
        <v>0.16666666666666666</v>
      </c>
      <c r="L19">
        <v>1</v>
      </c>
      <c r="M19">
        <v>10</v>
      </c>
    </row>
    <row r="20" spans="1:13" x14ac:dyDescent="0.2">
      <c r="A20" t="s">
        <v>22</v>
      </c>
      <c r="B20">
        <v>0</v>
      </c>
      <c r="C20">
        <v>0</v>
      </c>
      <c r="D20" t="s">
        <v>11</v>
      </c>
      <c r="E20" t="s">
        <v>19</v>
      </c>
      <c r="F20" t="s">
        <v>20</v>
      </c>
      <c r="G20" t="s">
        <v>21</v>
      </c>
      <c r="H20" t="s">
        <v>14</v>
      </c>
      <c r="I20">
        <v>0.6</v>
      </c>
      <c r="J20">
        <v>0.5</v>
      </c>
      <c r="K20">
        <v>1</v>
      </c>
      <c r="L20">
        <v>1</v>
      </c>
      <c r="M20">
        <v>5</v>
      </c>
    </row>
    <row r="21" spans="1:13" x14ac:dyDescent="0.2">
      <c r="A21" t="s">
        <v>50</v>
      </c>
      <c r="B21">
        <v>0</v>
      </c>
      <c r="C21">
        <v>0</v>
      </c>
      <c r="D21" t="s">
        <v>11</v>
      </c>
      <c r="E21" t="s">
        <v>51</v>
      </c>
      <c r="F21" t="s">
        <v>39</v>
      </c>
      <c r="G21" t="s">
        <v>21</v>
      </c>
      <c r="H21" t="s">
        <v>40</v>
      </c>
      <c r="I21">
        <v>0.6</v>
      </c>
      <c r="J21">
        <v>0.6</v>
      </c>
      <c r="K21">
        <v>1.5</v>
      </c>
      <c r="L21">
        <v>1</v>
      </c>
      <c r="M21">
        <v>30</v>
      </c>
    </row>
    <row r="22" spans="1:13" x14ac:dyDescent="0.2">
      <c r="A22" t="s">
        <v>58</v>
      </c>
      <c r="B22">
        <v>0</v>
      </c>
      <c r="C22">
        <v>0</v>
      </c>
      <c r="D22" t="s">
        <v>11</v>
      </c>
      <c r="E22" t="s">
        <v>59</v>
      </c>
      <c r="F22" t="s">
        <v>12</v>
      </c>
      <c r="G22" t="s">
        <v>25</v>
      </c>
      <c r="H22" t="s">
        <v>14</v>
      </c>
      <c r="I22">
        <v>0.6</v>
      </c>
      <c r="J22">
        <v>0.6</v>
      </c>
      <c r="K22">
        <v>1</v>
      </c>
      <c r="L22">
        <v>1</v>
      </c>
      <c r="M22">
        <v>5</v>
      </c>
    </row>
    <row r="23" spans="1:13" x14ac:dyDescent="0.2">
      <c r="A23" t="s">
        <v>79</v>
      </c>
      <c r="B23">
        <v>0</v>
      </c>
      <c r="C23">
        <v>0</v>
      </c>
      <c r="D23" t="s">
        <v>11</v>
      </c>
      <c r="E23" t="s">
        <v>42</v>
      </c>
      <c r="F23" t="s">
        <v>39</v>
      </c>
      <c r="G23" t="s">
        <v>25</v>
      </c>
      <c r="H23" t="s">
        <v>14</v>
      </c>
      <c r="I23">
        <v>0.6</v>
      </c>
      <c r="J23">
        <v>0.3</v>
      </c>
      <c r="K23">
        <v>0.9</v>
      </c>
      <c r="L23">
        <v>1</v>
      </c>
      <c r="M23">
        <v>45</v>
      </c>
    </row>
    <row r="24" spans="1:13" x14ac:dyDescent="0.2">
      <c r="A24" t="s">
        <v>28</v>
      </c>
      <c r="B24">
        <v>0</v>
      </c>
      <c r="C24">
        <v>0</v>
      </c>
      <c r="D24" t="s">
        <v>11</v>
      </c>
      <c r="E24" t="s">
        <v>24</v>
      </c>
      <c r="F24" t="s">
        <v>12</v>
      </c>
      <c r="G24" t="s">
        <v>25</v>
      </c>
      <c r="H24" t="s">
        <v>14</v>
      </c>
      <c r="I24">
        <v>0.7</v>
      </c>
      <c r="J24">
        <v>0.2</v>
      </c>
      <c r="K24">
        <v>0.13</v>
      </c>
      <c r="L24">
        <v>6</v>
      </c>
      <c r="M24">
        <v>5</v>
      </c>
    </row>
    <row r="25" spans="1:13" x14ac:dyDescent="0.2">
      <c r="A25" t="s">
        <v>74</v>
      </c>
      <c r="B25">
        <v>0</v>
      </c>
      <c r="C25">
        <v>0</v>
      </c>
      <c r="D25" t="s">
        <v>11</v>
      </c>
      <c r="E25" t="s">
        <v>42</v>
      </c>
      <c r="F25" t="s">
        <v>12</v>
      </c>
      <c r="G25" t="s">
        <v>25</v>
      </c>
      <c r="H25" t="s">
        <v>14</v>
      </c>
      <c r="I25">
        <v>0.8</v>
      </c>
      <c r="J25">
        <v>0.15</v>
      </c>
      <c r="K25">
        <v>1</v>
      </c>
      <c r="L25">
        <v>1</v>
      </c>
      <c r="M25">
        <v>45</v>
      </c>
    </row>
    <row r="26" spans="1:13" x14ac:dyDescent="0.2">
      <c r="A26" t="s">
        <v>120</v>
      </c>
      <c r="B26">
        <v>0</v>
      </c>
      <c r="C26">
        <v>0</v>
      </c>
      <c r="D26" t="s">
        <v>11</v>
      </c>
      <c r="E26" t="s">
        <v>59</v>
      </c>
      <c r="F26" t="s">
        <v>12</v>
      </c>
      <c r="G26" t="s">
        <v>21</v>
      </c>
      <c r="H26" t="s">
        <v>40</v>
      </c>
      <c r="I26">
        <v>0.8</v>
      </c>
      <c r="J26">
        <v>1.5</v>
      </c>
      <c r="K26">
        <f>15/12</f>
        <v>1.25</v>
      </c>
      <c r="L26">
        <v>1</v>
      </c>
      <c r="M26">
        <v>10</v>
      </c>
    </row>
    <row r="27" spans="1:13" x14ac:dyDescent="0.2">
      <c r="A27" t="s">
        <v>43</v>
      </c>
      <c r="B27">
        <v>0</v>
      </c>
      <c r="C27">
        <v>0</v>
      </c>
      <c r="D27" t="s">
        <v>11</v>
      </c>
      <c r="E27" t="s">
        <v>38</v>
      </c>
      <c r="F27" t="s">
        <v>20</v>
      </c>
      <c r="G27" t="s">
        <v>13</v>
      </c>
      <c r="H27" t="s">
        <v>14</v>
      </c>
      <c r="I27">
        <v>0.9</v>
      </c>
      <c r="J27">
        <v>0.6</v>
      </c>
      <c r="K27">
        <v>1</v>
      </c>
      <c r="L27">
        <v>6</v>
      </c>
      <c r="M27">
        <v>10</v>
      </c>
    </row>
    <row r="28" spans="1:13" x14ac:dyDescent="0.2">
      <c r="A28" t="s">
        <v>49</v>
      </c>
      <c r="B28">
        <v>0</v>
      </c>
      <c r="C28">
        <v>0</v>
      </c>
      <c r="D28" t="s">
        <v>11</v>
      </c>
      <c r="E28" t="s">
        <v>19</v>
      </c>
      <c r="F28" t="s">
        <v>39</v>
      </c>
      <c r="G28" t="s">
        <v>25</v>
      </c>
      <c r="H28" t="s">
        <v>14</v>
      </c>
      <c r="I28">
        <v>0.9</v>
      </c>
      <c r="J28">
        <v>0.4</v>
      </c>
      <c r="K28">
        <v>0.75</v>
      </c>
      <c r="L28">
        <v>1</v>
      </c>
      <c r="M28">
        <v>30</v>
      </c>
    </row>
    <row r="29" spans="1:13" x14ac:dyDescent="0.2">
      <c r="A29" t="s">
        <v>18</v>
      </c>
      <c r="B29">
        <v>0</v>
      </c>
      <c r="C29">
        <v>0</v>
      </c>
      <c r="D29" t="s">
        <v>11</v>
      </c>
      <c r="E29" t="s">
        <v>19</v>
      </c>
      <c r="F29" t="s">
        <v>20</v>
      </c>
      <c r="G29" t="s">
        <v>21</v>
      </c>
      <c r="H29" t="s">
        <v>14</v>
      </c>
      <c r="I29">
        <v>1</v>
      </c>
      <c r="J29">
        <v>0.7</v>
      </c>
      <c r="K29">
        <v>1</v>
      </c>
      <c r="L29">
        <v>1</v>
      </c>
      <c r="M29">
        <v>5</v>
      </c>
    </row>
    <row r="30" spans="1:13" x14ac:dyDescent="0.2">
      <c r="A30" t="s">
        <v>45</v>
      </c>
      <c r="B30">
        <v>0</v>
      </c>
      <c r="C30">
        <v>0</v>
      </c>
      <c r="D30" t="s">
        <v>11</v>
      </c>
      <c r="E30" t="s">
        <v>46</v>
      </c>
      <c r="F30" t="s">
        <v>47</v>
      </c>
      <c r="G30" t="s">
        <v>25</v>
      </c>
      <c r="H30" t="s">
        <v>14</v>
      </c>
      <c r="I30">
        <v>1</v>
      </c>
      <c r="J30">
        <v>0.6</v>
      </c>
      <c r="K30">
        <v>1</v>
      </c>
      <c r="L30">
        <v>1</v>
      </c>
      <c r="M30">
        <v>30</v>
      </c>
    </row>
    <row r="31" spans="1:13" x14ac:dyDescent="0.2">
      <c r="A31" t="s">
        <v>137</v>
      </c>
      <c r="B31">
        <v>0</v>
      </c>
      <c r="C31">
        <v>0</v>
      </c>
      <c r="D31" t="s">
        <v>11</v>
      </c>
      <c r="E31" t="s">
        <v>57</v>
      </c>
      <c r="F31" t="s">
        <v>12</v>
      </c>
      <c r="G31" t="s">
        <v>13</v>
      </c>
      <c r="H31" t="s">
        <v>17</v>
      </c>
      <c r="I31">
        <v>1</v>
      </c>
      <c r="J31">
        <v>1</v>
      </c>
      <c r="K31">
        <v>2</v>
      </c>
      <c r="L31">
        <v>1</v>
      </c>
      <c r="M31">
        <v>20</v>
      </c>
    </row>
    <row r="32" spans="1:13" x14ac:dyDescent="0.2">
      <c r="A32" t="s">
        <v>63</v>
      </c>
      <c r="B32">
        <v>0</v>
      </c>
      <c r="C32">
        <v>0</v>
      </c>
      <c r="D32" t="s">
        <v>11</v>
      </c>
      <c r="E32" t="s">
        <v>64</v>
      </c>
      <c r="F32" t="s">
        <v>39</v>
      </c>
      <c r="G32" t="s">
        <v>21</v>
      </c>
      <c r="H32" t="s">
        <v>14</v>
      </c>
      <c r="I32">
        <v>1</v>
      </c>
      <c r="J32">
        <v>0.5</v>
      </c>
      <c r="K32">
        <v>0.75</v>
      </c>
      <c r="L32">
        <v>4</v>
      </c>
      <c r="M32">
        <v>5</v>
      </c>
    </row>
    <row r="33" spans="1:13" x14ac:dyDescent="0.2">
      <c r="A33" t="s">
        <v>72</v>
      </c>
      <c r="B33">
        <v>0</v>
      </c>
      <c r="C33">
        <v>0</v>
      </c>
      <c r="D33" t="s">
        <v>11</v>
      </c>
      <c r="E33" t="s">
        <v>73</v>
      </c>
      <c r="F33" t="s">
        <v>12</v>
      </c>
      <c r="G33" t="s">
        <v>25</v>
      </c>
      <c r="H33" t="s">
        <v>14</v>
      </c>
      <c r="I33">
        <v>1</v>
      </c>
      <c r="J33">
        <v>0.4</v>
      </c>
      <c r="K33" s="2">
        <f>7/12</f>
        <v>0.58333333333333337</v>
      </c>
      <c r="L33">
        <v>1</v>
      </c>
      <c r="M33">
        <v>45</v>
      </c>
    </row>
    <row r="34" spans="1:13" x14ac:dyDescent="0.2">
      <c r="A34" t="s">
        <v>85</v>
      </c>
      <c r="B34">
        <v>0</v>
      </c>
      <c r="C34">
        <v>0</v>
      </c>
      <c r="D34" t="s">
        <v>11</v>
      </c>
      <c r="E34" t="s">
        <v>24</v>
      </c>
      <c r="F34" t="s">
        <v>12</v>
      </c>
      <c r="G34" t="s">
        <v>25</v>
      </c>
      <c r="H34" t="s">
        <v>14</v>
      </c>
      <c r="I34">
        <v>1</v>
      </c>
      <c r="J34">
        <v>0.6</v>
      </c>
      <c r="K34">
        <v>1</v>
      </c>
      <c r="L34">
        <v>6</v>
      </c>
      <c r="M34">
        <v>25</v>
      </c>
    </row>
    <row r="35" spans="1:13" x14ac:dyDescent="0.2">
      <c r="A35" t="s">
        <v>110</v>
      </c>
      <c r="B35">
        <v>0</v>
      </c>
      <c r="C35">
        <v>0</v>
      </c>
      <c r="D35" t="s">
        <v>11</v>
      </c>
      <c r="E35" t="s">
        <v>66</v>
      </c>
      <c r="F35" t="s">
        <v>39</v>
      </c>
      <c r="G35" t="s">
        <v>21</v>
      </c>
      <c r="H35" t="s">
        <v>40</v>
      </c>
      <c r="I35">
        <v>1</v>
      </c>
      <c r="J35" s="3">
        <v>1.5</v>
      </c>
      <c r="K35" s="3">
        <v>2</v>
      </c>
      <c r="L35">
        <v>1</v>
      </c>
      <c r="M35">
        <v>45</v>
      </c>
    </row>
    <row r="36" spans="1:13" x14ac:dyDescent="0.2">
      <c r="A36" t="s">
        <v>112</v>
      </c>
      <c r="B36">
        <v>0</v>
      </c>
      <c r="C36">
        <v>0</v>
      </c>
      <c r="D36" t="s">
        <v>11</v>
      </c>
      <c r="E36" t="s">
        <v>19</v>
      </c>
      <c r="F36" t="s">
        <v>39</v>
      </c>
      <c r="G36" t="s">
        <v>25</v>
      </c>
      <c r="H36" t="s">
        <v>40</v>
      </c>
      <c r="I36">
        <v>1</v>
      </c>
      <c r="J36">
        <v>0.5</v>
      </c>
      <c r="K36">
        <v>2.5</v>
      </c>
      <c r="L36">
        <v>1</v>
      </c>
      <c r="M36">
        <v>10</v>
      </c>
    </row>
    <row r="37" spans="1:13" x14ac:dyDescent="0.2">
      <c r="A37" t="s">
        <v>126</v>
      </c>
      <c r="B37">
        <v>0</v>
      </c>
      <c r="C37">
        <v>0</v>
      </c>
      <c r="D37" t="s">
        <v>11</v>
      </c>
      <c r="E37" t="s">
        <v>32</v>
      </c>
      <c r="F37" t="s">
        <v>39</v>
      </c>
      <c r="G37" t="s">
        <v>21</v>
      </c>
      <c r="H37" t="s">
        <v>17</v>
      </c>
      <c r="I37">
        <v>1</v>
      </c>
      <c r="J37">
        <v>3</v>
      </c>
      <c r="K37" s="5">
        <v>1</v>
      </c>
      <c r="L37">
        <v>1</v>
      </c>
      <c r="M37">
        <v>10</v>
      </c>
    </row>
    <row r="38" spans="1:13" x14ac:dyDescent="0.2">
      <c r="A38" t="s">
        <v>33</v>
      </c>
      <c r="B38">
        <v>0</v>
      </c>
      <c r="C38">
        <v>0</v>
      </c>
      <c r="D38" t="s">
        <v>11</v>
      </c>
      <c r="E38" t="s">
        <v>34</v>
      </c>
      <c r="F38" t="s">
        <v>12</v>
      </c>
      <c r="G38" t="s">
        <v>25</v>
      </c>
      <c r="H38" t="s">
        <v>14</v>
      </c>
      <c r="I38">
        <v>1.2</v>
      </c>
      <c r="J38">
        <v>1</v>
      </c>
      <c r="K38">
        <v>0.9</v>
      </c>
      <c r="L38">
        <v>3</v>
      </c>
      <c r="M38">
        <v>15</v>
      </c>
    </row>
    <row r="39" spans="1:13" x14ac:dyDescent="0.2">
      <c r="A39" t="s">
        <v>23</v>
      </c>
      <c r="B39">
        <v>0</v>
      </c>
      <c r="C39">
        <v>0</v>
      </c>
      <c r="D39" t="s">
        <v>11</v>
      </c>
      <c r="E39" t="s">
        <v>24</v>
      </c>
      <c r="F39" t="s">
        <v>12</v>
      </c>
      <c r="G39" t="s">
        <v>25</v>
      </c>
      <c r="H39" t="s">
        <v>17</v>
      </c>
      <c r="I39">
        <v>1.3</v>
      </c>
      <c r="J39">
        <v>1</v>
      </c>
      <c r="K39">
        <v>1</v>
      </c>
      <c r="L39">
        <v>1</v>
      </c>
      <c r="M39">
        <v>5</v>
      </c>
    </row>
    <row r="40" spans="1:13" x14ac:dyDescent="0.2">
      <c r="A40" t="s">
        <v>29</v>
      </c>
      <c r="B40">
        <v>0</v>
      </c>
      <c r="C40">
        <v>0</v>
      </c>
      <c r="D40" t="s">
        <v>11</v>
      </c>
      <c r="E40" t="s">
        <v>30</v>
      </c>
      <c r="F40" t="s">
        <v>12</v>
      </c>
      <c r="G40" t="s">
        <v>25</v>
      </c>
      <c r="H40" t="s">
        <v>14</v>
      </c>
      <c r="I40">
        <v>1.3</v>
      </c>
      <c r="J40">
        <v>1</v>
      </c>
      <c r="K40">
        <v>0.25</v>
      </c>
      <c r="L40">
        <v>1</v>
      </c>
      <c r="M40">
        <v>5</v>
      </c>
    </row>
    <row r="41" spans="1:13" x14ac:dyDescent="0.2">
      <c r="A41" t="s">
        <v>116</v>
      </c>
      <c r="B41">
        <v>0</v>
      </c>
      <c r="C41">
        <v>0</v>
      </c>
      <c r="D41" t="s">
        <v>11</v>
      </c>
      <c r="E41" t="s">
        <v>38</v>
      </c>
      <c r="F41" t="s">
        <v>12</v>
      </c>
      <c r="G41" t="s">
        <v>25</v>
      </c>
      <c r="H41" t="s">
        <v>17</v>
      </c>
      <c r="I41">
        <v>1.3</v>
      </c>
      <c r="J41">
        <v>1</v>
      </c>
      <c r="K41">
        <v>1</v>
      </c>
      <c r="L41">
        <v>1</v>
      </c>
      <c r="M41">
        <v>5</v>
      </c>
    </row>
    <row r="42" spans="1:13" x14ac:dyDescent="0.2">
      <c r="A42" t="s">
        <v>26</v>
      </c>
      <c r="B42">
        <v>0</v>
      </c>
      <c r="C42">
        <v>0</v>
      </c>
      <c r="D42" t="s">
        <v>11</v>
      </c>
      <c r="E42" t="s">
        <v>27</v>
      </c>
      <c r="F42" t="s">
        <v>12</v>
      </c>
      <c r="G42" t="s">
        <v>25</v>
      </c>
      <c r="H42" t="s">
        <v>14</v>
      </c>
      <c r="I42">
        <v>1.5</v>
      </c>
      <c r="J42">
        <v>0.2</v>
      </c>
      <c r="K42">
        <v>1</v>
      </c>
      <c r="L42">
        <v>1</v>
      </c>
      <c r="M42">
        <v>5</v>
      </c>
    </row>
    <row r="43" spans="1:13" x14ac:dyDescent="0.2">
      <c r="A43" t="s">
        <v>31</v>
      </c>
      <c r="B43">
        <v>0</v>
      </c>
      <c r="C43">
        <v>0</v>
      </c>
      <c r="D43" t="s">
        <v>11</v>
      </c>
      <c r="E43" t="s">
        <v>32</v>
      </c>
      <c r="F43" t="s">
        <v>12</v>
      </c>
      <c r="G43" t="s">
        <v>25</v>
      </c>
      <c r="H43" t="s">
        <v>14</v>
      </c>
      <c r="I43">
        <v>1.5</v>
      </c>
      <c r="J43">
        <v>0.3</v>
      </c>
      <c r="K43">
        <v>0.75</v>
      </c>
      <c r="L43">
        <v>6</v>
      </c>
      <c r="M43">
        <v>15</v>
      </c>
    </row>
    <row r="44" spans="1:13" x14ac:dyDescent="0.2">
      <c r="A44" t="s">
        <v>48</v>
      </c>
      <c r="B44">
        <v>0</v>
      </c>
      <c r="C44">
        <v>0</v>
      </c>
      <c r="D44" t="s">
        <v>11</v>
      </c>
      <c r="E44" t="s">
        <v>42</v>
      </c>
      <c r="F44" t="s">
        <v>12</v>
      </c>
      <c r="G44" t="s">
        <v>25</v>
      </c>
      <c r="H44" t="s">
        <v>14</v>
      </c>
      <c r="I44">
        <v>1.5</v>
      </c>
      <c r="J44">
        <v>0.08</v>
      </c>
      <c r="K44">
        <v>2</v>
      </c>
      <c r="L44">
        <v>1</v>
      </c>
      <c r="M44">
        <v>30</v>
      </c>
    </row>
    <row r="45" spans="1:13" x14ac:dyDescent="0.2">
      <c r="A45" t="s">
        <v>65</v>
      </c>
      <c r="B45">
        <v>0</v>
      </c>
      <c r="C45">
        <v>0</v>
      </c>
      <c r="D45" t="s">
        <v>11</v>
      </c>
      <c r="E45" t="s">
        <v>66</v>
      </c>
      <c r="F45" t="s">
        <v>39</v>
      </c>
      <c r="G45" t="s">
        <v>21</v>
      </c>
      <c r="H45" t="s">
        <v>17</v>
      </c>
      <c r="I45">
        <v>1.5</v>
      </c>
      <c r="J45">
        <v>0.5</v>
      </c>
      <c r="K45">
        <v>0.5</v>
      </c>
      <c r="L45">
        <v>1</v>
      </c>
      <c r="M45">
        <v>5</v>
      </c>
    </row>
    <row r="46" spans="1:13" x14ac:dyDescent="0.2">
      <c r="A46" t="s">
        <v>80</v>
      </c>
      <c r="B46">
        <v>0</v>
      </c>
      <c r="C46">
        <v>0</v>
      </c>
      <c r="D46" t="s">
        <v>11</v>
      </c>
      <c r="E46" t="s">
        <v>53</v>
      </c>
      <c r="F46" t="s">
        <v>12</v>
      </c>
      <c r="G46" t="s">
        <v>25</v>
      </c>
      <c r="H46" t="s">
        <v>17</v>
      </c>
      <c r="I46">
        <v>1.5</v>
      </c>
      <c r="J46">
        <v>0.5</v>
      </c>
      <c r="K46">
        <v>0.9</v>
      </c>
      <c r="L46">
        <v>3</v>
      </c>
      <c r="M46">
        <v>45</v>
      </c>
    </row>
    <row r="47" spans="1:13" x14ac:dyDescent="0.2">
      <c r="A47" t="s">
        <v>86</v>
      </c>
      <c r="B47">
        <v>0</v>
      </c>
      <c r="C47">
        <v>0</v>
      </c>
      <c r="D47" t="s">
        <v>11</v>
      </c>
      <c r="E47" t="s">
        <v>87</v>
      </c>
      <c r="F47" t="s">
        <v>12</v>
      </c>
      <c r="G47" t="s">
        <v>21</v>
      </c>
      <c r="H47" t="s">
        <v>40</v>
      </c>
      <c r="I47">
        <v>1.5</v>
      </c>
      <c r="J47">
        <v>3</v>
      </c>
      <c r="K47" s="2">
        <f>5/12</f>
        <v>0.41666666666666669</v>
      </c>
      <c r="L47">
        <v>1</v>
      </c>
      <c r="M47">
        <v>1</v>
      </c>
    </row>
    <row r="48" spans="1:13" x14ac:dyDescent="0.2">
      <c r="A48" t="s">
        <v>140</v>
      </c>
      <c r="B48">
        <v>0</v>
      </c>
      <c r="C48">
        <v>0</v>
      </c>
      <c r="D48" t="s">
        <v>11</v>
      </c>
      <c r="E48" t="s">
        <v>108</v>
      </c>
      <c r="F48" t="s">
        <v>47</v>
      </c>
      <c r="G48" t="s">
        <v>25</v>
      </c>
      <c r="H48" t="s">
        <v>40</v>
      </c>
      <c r="I48">
        <v>1.5</v>
      </c>
      <c r="J48">
        <v>2</v>
      </c>
      <c r="K48" s="4">
        <f>1.5/0.225</f>
        <v>6.6666666666666661</v>
      </c>
      <c r="L48">
        <v>1</v>
      </c>
      <c r="M48">
        <v>10</v>
      </c>
    </row>
    <row r="49" spans="1:13" x14ac:dyDescent="0.2">
      <c r="A49" t="s">
        <v>111</v>
      </c>
      <c r="B49">
        <v>0</v>
      </c>
      <c r="C49">
        <v>0</v>
      </c>
      <c r="D49" t="s">
        <v>11</v>
      </c>
      <c r="E49" t="s">
        <v>66</v>
      </c>
      <c r="F49" t="s">
        <v>47</v>
      </c>
      <c r="G49" t="s">
        <v>21</v>
      </c>
      <c r="H49" t="s">
        <v>17</v>
      </c>
      <c r="I49">
        <v>1.5</v>
      </c>
      <c r="J49" s="3">
        <v>1.3</v>
      </c>
      <c r="K49" s="3">
        <v>2</v>
      </c>
      <c r="L49">
        <v>1</v>
      </c>
      <c r="M49">
        <v>5</v>
      </c>
    </row>
    <row r="50" spans="1:13" x14ac:dyDescent="0.2">
      <c r="A50" t="s">
        <v>88</v>
      </c>
      <c r="B50">
        <v>0</v>
      </c>
      <c r="C50">
        <v>0</v>
      </c>
      <c r="D50" t="s">
        <v>11</v>
      </c>
      <c r="E50" t="s">
        <v>38</v>
      </c>
      <c r="F50" t="s">
        <v>89</v>
      </c>
      <c r="G50" t="s">
        <v>21</v>
      </c>
      <c r="H50" t="s">
        <v>17</v>
      </c>
      <c r="I50">
        <v>2</v>
      </c>
      <c r="J50">
        <v>2</v>
      </c>
      <c r="K50">
        <v>0.5</v>
      </c>
      <c r="L50">
        <v>1</v>
      </c>
      <c r="M50">
        <v>10</v>
      </c>
    </row>
    <row r="51" spans="1:13" x14ac:dyDescent="0.2">
      <c r="A51" t="s">
        <v>94</v>
      </c>
      <c r="B51">
        <v>0</v>
      </c>
      <c r="C51">
        <v>0</v>
      </c>
      <c r="D51" t="s">
        <v>11</v>
      </c>
      <c r="E51" t="s">
        <v>95</v>
      </c>
      <c r="F51" t="s">
        <v>39</v>
      </c>
      <c r="G51" t="s">
        <v>21</v>
      </c>
      <c r="H51" t="s">
        <v>40</v>
      </c>
      <c r="I51">
        <v>2</v>
      </c>
      <c r="J51">
        <v>2</v>
      </c>
      <c r="K51">
        <v>3.5</v>
      </c>
      <c r="L51">
        <v>1</v>
      </c>
      <c r="M51">
        <v>20</v>
      </c>
    </row>
    <row r="52" spans="1:13" x14ac:dyDescent="0.2">
      <c r="A52" t="s">
        <v>113</v>
      </c>
      <c r="B52">
        <v>0</v>
      </c>
      <c r="C52">
        <v>0</v>
      </c>
      <c r="D52" t="s">
        <v>11</v>
      </c>
      <c r="E52" t="s">
        <v>32</v>
      </c>
      <c r="F52" t="s">
        <v>47</v>
      </c>
      <c r="G52" t="s">
        <v>13</v>
      </c>
      <c r="H52" t="s">
        <v>17</v>
      </c>
      <c r="I52">
        <v>2</v>
      </c>
      <c r="J52">
        <v>2</v>
      </c>
      <c r="K52">
        <v>3</v>
      </c>
      <c r="L52">
        <v>1</v>
      </c>
      <c r="M52">
        <v>5</v>
      </c>
    </row>
    <row r="53" spans="1:13" x14ac:dyDescent="0.2">
      <c r="A53" t="s">
        <v>118</v>
      </c>
      <c r="B53">
        <v>0</v>
      </c>
      <c r="C53">
        <v>0</v>
      </c>
      <c r="D53" t="s">
        <v>11</v>
      </c>
      <c r="E53" t="s">
        <v>93</v>
      </c>
      <c r="F53" t="s">
        <v>20</v>
      </c>
      <c r="G53" t="s">
        <v>21</v>
      </c>
      <c r="H53" t="s">
        <v>17</v>
      </c>
      <c r="I53">
        <v>2</v>
      </c>
      <c r="J53">
        <v>2</v>
      </c>
      <c r="K53">
        <v>4</v>
      </c>
      <c r="L53">
        <v>1</v>
      </c>
      <c r="M53">
        <v>5</v>
      </c>
    </row>
    <row r="54" spans="1:13" x14ac:dyDescent="0.2">
      <c r="A54" t="s">
        <v>122</v>
      </c>
      <c r="B54">
        <v>0</v>
      </c>
      <c r="C54">
        <v>0</v>
      </c>
      <c r="D54" t="s">
        <v>11</v>
      </c>
      <c r="E54" t="s">
        <v>32</v>
      </c>
      <c r="F54" t="s">
        <v>12</v>
      </c>
      <c r="G54" t="s">
        <v>25</v>
      </c>
      <c r="H54" t="s">
        <v>14</v>
      </c>
      <c r="I54">
        <v>2</v>
      </c>
      <c r="J54">
        <v>3</v>
      </c>
      <c r="K54">
        <v>7.5</v>
      </c>
      <c r="L54">
        <v>1</v>
      </c>
      <c r="M54">
        <v>5</v>
      </c>
    </row>
    <row r="55" spans="1:13" x14ac:dyDescent="0.2">
      <c r="A55" t="s">
        <v>81</v>
      </c>
      <c r="B55">
        <v>0</v>
      </c>
      <c r="C55">
        <v>0</v>
      </c>
      <c r="D55" t="s">
        <v>11</v>
      </c>
      <c r="E55" t="s">
        <v>142</v>
      </c>
      <c r="F55" t="s">
        <v>39</v>
      </c>
      <c r="G55" t="s">
        <v>21</v>
      </c>
      <c r="H55" t="s">
        <v>40</v>
      </c>
      <c r="I55">
        <v>2.5</v>
      </c>
      <c r="J55">
        <v>1</v>
      </c>
      <c r="K55">
        <v>3.5</v>
      </c>
      <c r="L55">
        <v>1</v>
      </c>
      <c r="M55">
        <v>50</v>
      </c>
    </row>
    <row r="56" spans="1:13" x14ac:dyDescent="0.2">
      <c r="A56" t="s">
        <v>114</v>
      </c>
      <c r="B56">
        <v>0</v>
      </c>
      <c r="C56">
        <v>0</v>
      </c>
      <c r="D56" t="s">
        <v>11</v>
      </c>
      <c r="E56" t="s">
        <v>115</v>
      </c>
      <c r="F56" t="s">
        <v>47</v>
      </c>
      <c r="G56" t="s">
        <v>25</v>
      </c>
      <c r="H56" t="s">
        <v>14</v>
      </c>
      <c r="I56">
        <v>3</v>
      </c>
      <c r="J56">
        <v>2</v>
      </c>
      <c r="K56">
        <v>2.5</v>
      </c>
      <c r="L56">
        <v>1</v>
      </c>
      <c r="M56">
        <v>10</v>
      </c>
    </row>
    <row r="57" spans="1:13" x14ac:dyDescent="0.2">
      <c r="A57" t="s">
        <v>37</v>
      </c>
      <c r="B57">
        <v>0</v>
      </c>
      <c r="C57">
        <v>0</v>
      </c>
      <c r="D57" t="s">
        <v>11</v>
      </c>
      <c r="E57" t="s">
        <v>38</v>
      </c>
      <c r="F57" t="s">
        <v>39</v>
      </c>
      <c r="G57" t="s">
        <v>21</v>
      </c>
      <c r="H57" t="s">
        <v>40</v>
      </c>
      <c r="I57">
        <v>4</v>
      </c>
      <c r="J57">
        <v>0.7</v>
      </c>
      <c r="K57">
        <v>2</v>
      </c>
      <c r="L57">
        <v>3</v>
      </c>
      <c r="M57">
        <v>10</v>
      </c>
    </row>
    <row r="58" spans="1:13" x14ac:dyDescent="0.2">
      <c r="A58" t="s">
        <v>78</v>
      </c>
      <c r="B58">
        <v>0</v>
      </c>
      <c r="C58">
        <v>0</v>
      </c>
      <c r="D58" t="s">
        <v>11</v>
      </c>
      <c r="E58" t="s">
        <v>68</v>
      </c>
      <c r="F58" t="s">
        <v>47</v>
      </c>
      <c r="G58" t="s">
        <v>13</v>
      </c>
      <c r="H58" t="s">
        <v>17</v>
      </c>
      <c r="I58">
        <v>4</v>
      </c>
      <c r="J58">
        <v>5</v>
      </c>
      <c r="K58">
        <v>3</v>
      </c>
      <c r="L58">
        <v>1</v>
      </c>
      <c r="M58">
        <v>10</v>
      </c>
    </row>
    <row r="59" spans="1:13" x14ac:dyDescent="0.2">
      <c r="A59" t="s">
        <v>83</v>
      </c>
      <c r="B59">
        <v>0</v>
      </c>
      <c r="C59">
        <v>0</v>
      </c>
      <c r="D59" t="s">
        <v>11</v>
      </c>
      <c r="E59" t="s">
        <v>84</v>
      </c>
      <c r="F59" t="s">
        <v>47</v>
      </c>
      <c r="G59" t="s">
        <v>13</v>
      </c>
      <c r="H59" t="s">
        <v>14</v>
      </c>
      <c r="I59">
        <v>4</v>
      </c>
      <c r="J59">
        <v>4</v>
      </c>
      <c r="K59" s="2">
        <f>5/12</f>
        <v>0.41666666666666669</v>
      </c>
      <c r="L59">
        <v>1</v>
      </c>
      <c r="M59">
        <v>10</v>
      </c>
    </row>
    <row r="60" spans="1:13" x14ac:dyDescent="0.2">
      <c r="A60" t="s">
        <v>107</v>
      </c>
      <c r="B60">
        <v>0</v>
      </c>
      <c r="C60">
        <v>0</v>
      </c>
      <c r="D60" t="s">
        <v>11</v>
      </c>
      <c r="E60" t="s">
        <v>51</v>
      </c>
      <c r="F60" t="s">
        <v>39</v>
      </c>
      <c r="G60" t="s">
        <v>25</v>
      </c>
      <c r="H60" t="s">
        <v>40</v>
      </c>
      <c r="I60">
        <v>4</v>
      </c>
      <c r="J60">
        <v>2</v>
      </c>
      <c r="K60" s="3">
        <v>2.5</v>
      </c>
      <c r="L60">
        <v>1</v>
      </c>
      <c r="M60">
        <v>40</v>
      </c>
    </row>
    <row r="61" spans="1:13" x14ac:dyDescent="0.2">
      <c r="A61" t="s">
        <v>123</v>
      </c>
      <c r="B61">
        <v>0</v>
      </c>
      <c r="C61">
        <v>0</v>
      </c>
      <c r="D61" t="s">
        <v>11</v>
      </c>
      <c r="E61" t="s">
        <v>51</v>
      </c>
      <c r="F61" t="s">
        <v>47</v>
      </c>
      <c r="G61" t="s">
        <v>25</v>
      </c>
      <c r="H61" t="s">
        <v>17</v>
      </c>
      <c r="I61">
        <v>4</v>
      </c>
      <c r="J61">
        <v>3</v>
      </c>
      <c r="K61">
        <v>2.5</v>
      </c>
      <c r="L61">
        <v>1</v>
      </c>
      <c r="M61">
        <v>5</v>
      </c>
    </row>
    <row r="62" spans="1:13" x14ac:dyDescent="0.2">
      <c r="A62" t="s">
        <v>124</v>
      </c>
      <c r="B62">
        <v>0</v>
      </c>
      <c r="C62">
        <v>0</v>
      </c>
      <c r="D62" t="s">
        <v>11</v>
      </c>
      <c r="E62" t="s">
        <v>125</v>
      </c>
      <c r="F62" t="s">
        <v>47</v>
      </c>
      <c r="G62" t="s">
        <v>25</v>
      </c>
      <c r="H62" t="s">
        <v>17</v>
      </c>
      <c r="I62">
        <v>4</v>
      </c>
      <c r="J62">
        <v>4</v>
      </c>
      <c r="K62" s="5">
        <v>2.5</v>
      </c>
      <c r="L62">
        <v>1</v>
      </c>
      <c r="M62">
        <v>30</v>
      </c>
    </row>
    <row r="63" spans="1:13" x14ac:dyDescent="0.2">
      <c r="A63" t="s">
        <v>105</v>
      </c>
      <c r="B63">
        <v>0</v>
      </c>
      <c r="C63">
        <v>0</v>
      </c>
      <c r="D63" t="s">
        <v>11</v>
      </c>
      <c r="E63" t="s">
        <v>106</v>
      </c>
      <c r="F63" t="s">
        <v>47</v>
      </c>
      <c r="G63" t="s">
        <v>25</v>
      </c>
      <c r="H63" t="s">
        <v>14</v>
      </c>
      <c r="I63">
        <v>5</v>
      </c>
      <c r="J63">
        <v>5</v>
      </c>
      <c r="K63" s="3">
        <v>5</v>
      </c>
      <c r="L63">
        <v>1</v>
      </c>
      <c r="M63">
        <v>20</v>
      </c>
    </row>
    <row r="64" spans="1:13" x14ac:dyDescent="0.2">
      <c r="A64" t="s">
        <v>92</v>
      </c>
      <c r="B64">
        <v>0</v>
      </c>
      <c r="C64">
        <v>0</v>
      </c>
      <c r="D64" t="s">
        <v>11</v>
      </c>
      <c r="E64" t="s">
        <v>93</v>
      </c>
      <c r="F64" t="s">
        <v>39</v>
      </c>
      <c r="G64" t="s">
        <v>25</v>
      </c>
      <c r="H64" t="s">
        <v>17</v>
      </c>
      <c r="I64">
        <v>6</v>
      </c>
      <c r="J64">
        <v>5</v>
      </c>
      <c r="K64">
        <v>6</v>
      </c>
      <c r="L64">
        <v>1</v>
      </c>
      <c r="M64">
        <v>15</v>
      </c>
    </row>
    <row r="65" spans="1:13" x14ac:dyDescent="0.2">
      <c r="A65" t="s">
        <v>139</v>
      </c>
      <c r="B65">
        <v>0</v>
      </c>
      <c r="C65">
        <v>0</v>
      </c>
      <c r="D65" t="s">
        <v>11</v>
      </c>
      <c r="E65" t="s">
        <v>109</v>
      </c>
      <c r="F65" t="s">
        <v>12</v>
      </c>
      <c r="G65" t="s">
        <v>25</v>
      </c>
      <c r="H65" t="s">
        <v>17</v>
      </c>
      <c r="I65">
        <v>6</v>
      </c>
      <c r="J65" s="3">
        <v>4</v>
      </c>
      <c r="K65" s="3">
        <v>3</v>
      </c>
      <c r="L65">
        <v>1</v>
      </c>
      <c r="M65">
        <v>1</v>
      </c>
    </row>
    <row r="66" spans="1:13" x14ac:dyDescent="0.2">
      <c r="A66" t="s">
        <v>70</v>
      </c>
      <c r="B66">
        <v>0</v>
      </c>
      <c r="C66">
        <v>0</v>
      </c>
      <c r="D66" t="s">
        <v>11</v>
      </c>
      <c r="E66" t="s">
        <v>71</v>
      </c>
      <c r="F66" t="s">
        <v>47</v>
      </c>
      <c r="G66" t="s">
        <v>25</v>
      </c>
      <c r="H66" t="s">
        <v>17</v>
      </c>
      <c r="I66">
        <v>10</v>
      </c>
      <c r="J66">
        <v>6</v>
      </c>
      <c r="K66">
        <v>3.5</v>
      </c>
      <c r="L66">
        <v>1</v>
      </c>
      <c r="M66">
        <v>10</v>
      </c>
    </row>
    <row r="67" spans="1:13" x14ac:dyDescent="0.2">
      <c r="A67" t="s">
        <v>75</v>
      </c>
      <c r="B67">
        <v>0</v>
      </c>
      <c r="C67">
        <v>0</v>
      </c>
      <c r="D67" t="s">
        <v>11</v>
      </c>
      <c r="E67" t="s">
        <v>76</v>
      </c>
      <c r="F67" t="s">
        <v>47</v>
      </c>
      <c r="G67" t="s">
        <v>21</v>
      </c>
      <c r="H67" t="s">
        <v>17</v>
      </c>
      <c r="I67">
        <v>10</v>
      </c>
      <c r="J67">
        <v>7</v>
      </c>
      <c r="K67">
        <v>35</v>
      </c>
      <c r="L67">
        <v>1</v>
      </c>
      <c r="M67">
        <v>15</v>
      </c>
    </row>
    <row r="68" spans="1:13" x14ac:dyDescent="0.2">
      <c r="A68" t="s">
        <v>127</v>
      </c>
      <c r="B68">
        <v>0</v>
      </c>
      <c r="C68">
        <v>0</v>
      </c>
      <c r="D68" t="s">
        <v>128</v>
      </c>
      <c r="E68" t="s">
        <v>71</v>
      </c>
      <c r="F68" t="s">
        <v>62</v>
      </c>
      <c r="G68" t="s">
        <v>25</v>
      </c>
      <c r="H68" t="s">
        <v>17</v>
      </c>
      <c r="I68">
        <v>12</v>
      </c>
      <c r="J68">
        <v>10</v>
      </c>
      <c r="K68">
        <v>17</v>
      </c>
      <c r="L68">
        <v>1</v>
      </c>
      <c r="M68">
        <v>5</v>
      </c>
    </row>
    <row r="69" spans="1:13" x14ac:dyDescent="0.2">
      <c r="A69" t="s">
        <v>138</v>
      </c>
      <c r="B69">
        <v>0</v>
      </c>
      <c r="C69">
        <v>0</v>
      </c>
      <c r="D69" t="s">
        <v>11</v>
      </c>
      <c r="E69" t="s">
        <v>102</v>
      </c>
      <c r="F69" t="s">
        <v>62</v>
      </c>
      <c r="G69" t="s">
        <v>21</v>
      </c>
      <c r="H69" t="s">
        <v>17</v>
      </c>
      <c r="I69">
        <v>15</v>
      </c>
      <c r="J69">
        <v>10</v>
      </c>
      <c r="K69">
        <v>22.5</v>
      </c>
      <c r="L69">
        <v>1</v>
      </c>
      <c r="M69">
        <v>5</v>
      </c>
    </row>
    <row r="70" spans="1:13" x14ac:dyDescent="0.2">
      <c r="A70" t="s">
        <v>141</v>
      </c>
      <c r="B70">
        <v>0</v>
      </c>
      <c r="C70">
        <v>0</v>
      </c>
      <c r="D70" t="s">
        <v>11</v>
      </c>
      <c r="E70" t="s">
        <v>46</v>
      </c>
      <c r="F70" t="s">
        <v>62</v>
      </c>
      <c r="G70" t="s">
        <v>21</v>
      </c>
      <c r="H70" t="s">
        <v>40</v>
      </c>
      <c r="I70">
        <v>20</v>
      </c>
      <c r="J70">
        <v>15</v>
      </c>
      <c r="K70">
        <v>9</v>
      </c>
      <c r="L70">
        <v>1</v>
      </c>
      <c r="M70">
        <v>5</v>
      </c>
    </row>
    <row r="71" spans="1:13" x14ac:dyDescent="0.2">
      <c r="A71" t="s">
        <v>132</v>
      </c>
      <c r="B71">
        <v>0</v>
      </c>
      <c r="C71">
        <v>0</v>
      </c>
      <c r="D71" t="s">
        <v>11</v>
      </c>
      <c r="E71" t="s">
        <v>96</v>
      </c>
      <c r="F71" t="s">
        <v>62</v>
      </c>
      <c r="G71" t="s">
        <v>21</v>
      </c>
      <c r="H71" t="s">
        <v>17</v>
      </c>
      <c r="I71">
        <v>25</v>
      </c>
      <c r="J71">
        <v>10</v>
      </c>
      <c r="K71">
        <v>15</v>
      </c>
      <c r="L71">
        <v>1</v>
      </c>
      <c r="M71">
        <v>5</v>
      </c>
    </row>
    <row r="72" spans="1:13" x14ac:dyDescent="0.2">
      <c r="A72" t="s">
        <v>97</v>
      </c>
      <c r="B72">
        <v>0</v>
      </c>
      <c r="C72">
        <v>0</v>
      </c>
      <c r="D72" t="s">
        <v>11</v>
      </c>
      <c r="E72" t="s">
        <v>98</v>
      </c>
      <c r="F72" t="s">
        <v>62</v>
      </c>
      <c r="G72" t="s">
        <v>21</v>
      </c>
      <c r="H72" t="s">
        <v>17</v>
      </c>
      <c r="I72">
        <v>25</v>
      </c>
      <c r="J72">
        <v>15</v>
      </c>
      <c r="K72">
        <v>4</v>
      </c>
      <c r="L72">
        <v>1</v>
      </c>
      <c r="M72">
        <v>5</v>
      </c>
    </row>
    <row r="73" spans="1:13" x14ac:dyDescent="0.2">
      <c r="A73" t="s">
        <v>100</v>
      </c>
      <c r="B73">
        <v>0</v>
      </c>
      <c r="C73">
        <v>0</v>
      </c>
      <c r="D73" t="s">
        <v>11</v>
      </c>
      <c r="E73" t="s">
        <v>101</v>
      </c>
      <c r="F73" t="s">
        <v>62</v>
      </c>
      <c r="G73" t="s">
        <v>21</v>
      </c>
      <c r="H73" t="s">
        <v>40</v>
      </c>
      <c r="I73">
        <v>25</v>
      </c>
      <c r="J73">
        <v>10</v>
      </c>
      <c r="K73">
        <v>5.5</v>
      </c>
      <c r="L73">
        <v>1</v>
      </c>
      <c r="M73">
        <v>5</v>
      </c>
    </row>
    <row r="74" spans="1:13" x14ac:dyDescent="0.2">
      <c r="A74" t="s">
        <v>99</v>
      </c>
      <c r="B74">
        <v>0</v>
      </c>
      <c r="C74">
        <v>0</v>
      </c>
      <c r="D74" t="s">
        <v>11</v>
      </c>
      <c r="E74" t="s">
        <v>91</v>
      </c>
      <c r="F74" t="s">
        <v>62</v>
      </c>
      <c r="G74" t="s">
        <v>21</v>
      </c>
      <c r="H74" t="s">
        <v>17</v>
      </c>
      <c r="I74">
        <v>30</v>
      </c>
      <c r="J74">
        <v>25</v>
      </c>
      <c r="K74">
        <v>12.5</v>
      </c>
      <c r="L74">
        <v>1</v>
      </c>
      <c r="M74">
        <v>5</v>
      </c>
    </row>
    <row r="75" spans="1:13" x14ac:dyDescent="0.2">
      <c r="A75" t="s">
        <v>103</v>
      </c>
      <c r="B75">
        <v>0</v>
      </c>
      <c r="C75">
        <v>0</v>
      </c>
      <c r="D75" t="s">
        <v>11</v>
      </c>
      <c r="E75" t="s">
        <v>104</v>
      </c>
      <c r="F75" t="s">
        <v>62</v>
      </c>
      <c r="G75" t="s">
        <v>21</v>
      </c>
      <c r="H75" t="s">
        <v>17</v>
      </c>
      <c r="I75">
        <v>30</v>
      </c>
      <c r="J75">
        <v>10</v>
      </c>
      <c r="K75" s="2">
        <f>30/2.2</f>
        <v>13.636363636363635</v>
      </c>
      <c r="L75">
        <v>1</v>
      </c>
      <c r="M75">
        <v>5</v>
      </c>
    </row>
    <row r="76" spans="1:13" x14ac:dyDescent="0.2">
      <c r="A76" t="s">
        <v>60</v>
      </c>
      <c r="B76">
        <v>0</v>
      </c>
      <c r="C76">
        <v>0</v>
      </c>
      <c r="D76" t="s">
        <v>11</v>
      </c>
      <c r="E76" t="s">
        <v>61</v>
      </c>
      <c r="F76" t="s">
        <v>62</v>
      </c>
      <c r="G76" t="s">
        <v>21</v>
      </c>
      <c r="H76" t="s">
        <v>17</v>
      </c>
      <c r="I76">
        <v>45</v>
      </c>
      <c r="J76">
        <v>35</v>
      </c>
      <c r="K76">
        <v>10</v>
      </c>
      <c r="L76">
        <v>1</v>
      </c>
      <c r="M76">
        <v>10</v>
      </c>
    </row>
    <row r="77" spans="1:13" x14ac:dyDescent="0.2">
      <c r="A77" t="s">
        <v>131</v>
      </c>
      <c r="B77">
        <v>0</v>
      </c>
      <c r="C77">
        <v>0</v>
      </c>
      <c r="D77" t="s">
        <v>11</v>
      </c>
      <c r="E77" t="s">
        <v>24</v>
      </c>
      <c r="F77" t="s">
        <v>47</v>
      </c>
      <c r="G77" t="s">
        <v>25</v>
      </c>
      <c r="H77" t="s">
        <v>17</v>
      </c>
      <c r="I77">
        <v>2</v>
      </c>
      <c r="J77">
        <v>3</v>
      </c>
      <c r="K77">
        <v>2</v>
      </c>
      <c r="L77">
        <v>1</v>
      </c>
      <c r="M77">
        <v>35</v>
      </c>
    </row>
    <row r="78" spans="1:13" x14ac:dyDescent="0.2">
      <c r="A78" t="s">
        <v>55</v>
      </c>
      <c r="B78">
        <v>0</v>
      </c>
      <c r="C78">
        <v>0</v>
      </c>
      <c r="D78" t="s">
        <v>11</v>
      </c>
      <c r="E78" t="s">
        <v>24</v>
      </c>
      <c r="F78" t="s">
        <v>12</v>
      </c>
      <c r="G78" t="s">
        <v>21</v>
      </c>
      <c r="H78" t="s">
        <v>17</v>
      </c>
      <c r="I78">
        <v>0.3</v>
      </c>
      <c r="J78">
        <v>1</v>
      </c>
      <c r="K78">
        <v>5</v>
      </c>
      <c r="L78">
        <v>1</v>
      </c>
      <c r="M78">
        <v>10</v>
      </c>
    </row>
  </sheetData>
  <sortState xmlns:xlrd2="http://schemas.microsoft.com/office/spreadsheetml/2017/richdata2" ref="A2:M76">
    <sortCondition ref="I2:I76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Hoegh-Guldberg</dc:creator>
  <cp:lastModifiedBy>Fiona Hoegh-Guldberg</cp:lastModifiedBy>
  <dcterms:created xsi:type="dcterms:W3CDTF">2025-09-16T08:40:02Z</dcterms:created>
  <dcterms:modified xsi:type="dcterms:W3CDTF">2026-04-10T04:56:32Z</dcterms:modified>
</cp:coreProperties>
</file>